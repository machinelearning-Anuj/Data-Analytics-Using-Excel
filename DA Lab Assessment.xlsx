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 activeTab="2"/>
  </bookViews>
  <sheets>
    <sheet name="Lab_2" sheetId="9" r:id="rId1"/>
    <sheet name="Lab_3" sheetId="10" r:id="rId2"/>
    <sheet name="Sheet1" sheetId="11" r:id="rId3"/>
  </sheets>
  <calcPr calcId="152511"/>
</workbook>
</file>

<file path=xl/calcChain.xml><?xml version="1.0" encoding="utf-8"?>
<calcChain xmlns="http://schemas.openxmlformats.org/spreadsheetml/2006/main">
  <c r="C3" i="11" l="1"/>
  <c r="C4" i="11"/>
  <c r="C5" i="11"/>
  <c r="C6" i="11"/>
  <c r="C7" i="11"/>
  <c r="C8" i="11"/>
  <c r="C9" i="11"/>
  <c r="C2" i="11"/>
  <c r="M10" i="11"/>
  <c r="M8" i="11"/>
  <c r="M6" i="11"/>
  <c r="M4" i="11"/>
  <c r="M2" i="11"/>
  <c r="D16" i="10" l="1"/>
  <c r="D17" i="10"/>
  <c r="D18" i="10"/>
  <c r="D19" i="10"/>
  <c r="D20" i="10"/>
  <c r="D7" i="10"/>
  <c r="D8" i="10"/>
  <c r="D9" i="10"/>
  <c r="D10" i="10"/>
  <c r="D11" i="10"/>
  <c r="D12" i="10"/>
  <c r="D13" i="10"/>
  <c r="D14" i="10"/>
  <c r="D15" i="10"/>
  <c r="D6" i="10"/>
  <c r="H10" i="10"/>
  <c r="H9" i="10"/>
  <c r="H8" i="10"/>
  <c r="H7" i="10"/>
  <c r="H6" i="10"/>
</calcChain>
</file>

<file path=xl/sharedStrings.xml><?xml version="1.0" encoding="utf-8"?>
<sst xmlns="http://schemas.openxmlformats.org/spreadsheetml/2006/main" count="56" uniqueCount="44">
  <si>
    <t>Marks</t>
  </si>
  <si>
    <t>Q1</t>
  </si>
  <si>
    <t>Q3</t>
  </si>
  <si>
    <t>Bin</t>
  </si>
  <si>
    <t>More</t>
  </si>
  <si>
    <t>Frequency</t>
  </si>
  <si>
    <t>Customer ID</t>
  </si>
  <si>
    <t>Purchase Amount (₹)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</si>
  <si>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</si>
  <si>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</si>
  <si>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</si>
  <si>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</si>
  <si>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</si>
  <si>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</si>
  <si>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</si>
  <si>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</si>
  <si>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</si>
  <si>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</si>
  <si>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</si>
  <si>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</si>
  <si>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</si>
  <si>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</si>
  <si>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</si>
  <si>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IQR</t>
  </si>
  <si>
    <t>PRACTICAL 2: IMPLEMENTATION OF GRAPHS</t>
  </si>
  <si>
    <t>Task 1: Histogram Analysis</t>
  </si>
  <si>
    <t>Student ID</t>
  </si>
  <si>
    <t>Bins</t>
  </si>
  <si>
    <t>Task 2: Scatter Plot Analysis</t>
  </si>
  <si>
    <t>Result</t>
  </si>
  <si>
    <t>Statistics</t>
  </si>
  <si>
    <t>Excel Formulla</t>
  </si>
  <si>
    <t>Lower Limit</t>
  </si>
  <si>
    <t>Upper Limit</t>
  </si>
  <si>
    <t>Practical 3: Outlier Detection Implementation Using IQR</t>
  </si>
  <si>
    <t>Identifier</t>
  </si>
  <si>
    <t>Basic Descriptive analysis</t>
  </si>
  <si>
    <t>LL</t>
  </si>
  <si>
    <t>UL</t>
  </si>
  <si>
    <t>Amount</t>
  </si>
  <si>
    <t>OUTLIER DETECTION USING HISTOGRAM</t>
  </si>
  <si>
    <t>Business Analysis Tasks</t>
  </si>
  <si>
    <t>Description</t>
  </si>
  <si>
    <t>Which customers are identified as outliers?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</si>
</sst>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0" xfId="0" applyFont="1"/>
    <xf numFmtId="0" fontId="0" fillId="0" borderId="4" xfId="0" applyBorder="1"/>
    <xf numFmtId="0" fontId="0" fillId="0" borderId="4" xfId="0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1" fillId="0" borderId="4" xfId="0" applyFont="1" applyBorder="1"/>
    <xf numFmtId="0" fontId="1" fillId="5" borderId="4" xfId="0" applyFont="1" applyFill="1" applyBorder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3" fillId="5" borderId="4" xfId="0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ont>
        <b/>
        <i/>
      </font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Lab_2!$G$5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Lab_2!$F$6:$F$12</c:f>
              <c:strCache>
                <c:ptCount val="7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  <c:pt idx="6">
                  <c:v>More</c:v>
                </c:pt>
              </c:strCache>
            </c:strRef>
          </c:cat>
          <c:val>
            <c:numRef>
              <c:f>Lab_2!$G$6:$G$12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347968"/>
        <c:axId val="293423416"/>
      </c:barChart>
      <c:catAx>
        <c:axId val="3734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423416"/>
        <c:crosses val="autoZero"/>
        <c:auto val="1"/>
        <c:lblAlgn val="ctr"/>
        <c:lblOffset val="100"/>
        <c:noMultiLvlLbl val="0"/>
      </c:catAx>
      <c:valAx>
        <c:axId val="29342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4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19486111111111112"/>
          <c:w val="0.87753018372703417"/>
          <c:h val="0.720887649460484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Lab_2!$A$6:$A$25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xVal>
          <c:yVal>
            <c:numRef>
              <c:f>Lab_2!$B$6:$B$25</c:f>
              <c:numCache>
                <c:formatCode>General</c:formatCode>
                <c:ptCount val="20"/>
                <c:pt idx="0">
                  <c:v>45</c:v>
                </c:pt>
                <c:pt idx="1">
                  <c:v>52</c:v>
                </c:pt>
                <c:pt idx="2">
                  <c:v>68</c:v>
                </c:pt>
                <c:pt idx="3">
                  <c:v>74</c:v>
                </c:pt>
                <c:pt idx="4">
                  <c:v>85</c:v>
                </c:pt>
                <c:pt idx="5">
                  <c:v>63</c:v>
                </c:pt>
                <c:pt idx="6">
                  <c:v>78</c:v>
                </c:pt>
                <c:pt idx="7">
                  <c:v>55</c:v>
                </c:pt>
                <c:pt idx="8">
                  <c:v>90</c:v>
                </c:pt>
                <c:pt idx="9">
                  <c:v>82</c:v>
                </c:pt>
                <c:pt idx="10">
                  <c:v>60</c:v>
                </c:pt>
                <c:pt idx="11">
                  <c:v>71</c:v>
                </c:pt>
                <c:pt idx="12">
                  <c:v>66</c:v>
                </c:pt>
                <c:pt idx="13">
                  <c:v>49</c:v>
                </c:pt>
                <c:pt idx="14">
                  <c:v>58</c:v>
                </c:pt>
                <c:pt idx="15">
                  <c:v>73</c:v>
                </c:pt>
                <c:pt idx="16">
                  <c:v>88</c:v>
                </c:pt>
                <c:pt idx="17">
                  <c:v>95</c:v>
                </c:pt>
                <c:pt idx="18">
                  <c:v>67</c:v>
                </c:pt>
                <c:pt idx="19">
                  <c:v>80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854568"/>
        <c:axId val="294775408"/>
      </c:scatterChart>
      <c:valAx>
        <c:axId val="261854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775408"/>
        <c:crosses val="autoZero"/>
        <c:crossBetween val="midCat"/>
      </c:valAx>
      <c:valAx>
        <c:axId val="29477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854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Lab_3!$C$5</c:f>
              <c:strCache>
                <c:ptCount val="1"/>
                <c:pt idx="0">
                  <c:v>Purchase Amount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Lab_3!$C$6:$C$20</c:f>
              <c:numCache>
                <c:formatCode>General</c:formatCode>
                <c:ptCount val="15"/>
                <c:pt idx="0">
                  <c:v>520</c:v>
                </c:pt>
                <c:pt idx="1">
                  <c:v>610</c:v>
                </c:pt>
                <c:pt idx="2">
                  <c:v>580</c:v>
                </c:pt>
                <c:pt idx="3">
                  <c:v>640</c:v>
                </c:pt>
                <c:pt idx="4">
                  <c:v>720</c:v>
                </c:pt>
                <c:pt idx="5">
                  <c:v>680</c:v>
                </c:pt>
                <c:pt idx="6">
                  <c:v>700</c:v>
                </c:pt>
                <c:pt idx="7">
                  <c:v>750</c:v>
                </c:pt>
                <c:pt idx="8">
                  <c:v>810</c:v>
                </c:pt>
                <c:pt idx="9">
                  <c:v>830</c:v>
                </c:pt>
                <c:pt idx="10">
                  <c:v>860</c:v>
                </c:pt>
                <c:pt idx="11">
                  <c:v>900</c:v>
                </c:pt>
                <c:pt idx="12">
                  <c:v>940</c:v>
                </c:pt>
                <c:pt idx="13">
                  <c:v>980</c:v>
                </c:pt>
                <c:pt idx="14">
                  <c:v>2500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4981240"/>
        <c:axId val="294020416"/>
      </c:barChart>
      <c:catAx>
        <c:axId val="294981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020416"/>
        <c:crosses val="autoZero"/>
        <c:auto val="1"/>
        <c:lblAlgn val="ctr"/>
        <c:lblOffset val="100"/>
        <c:noMultiLvlLbl val="0"/>
      </c:catAx>
      <c:valAx>
        <c:axId val="29402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81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Sheet1!$B$2:$B$9</c:f>
              <c:numCache>
                <c:formatCode>General</c:formatCode>
                <c:ptCount val="8"/>
                <c:pt idx="0">
                  <c:v>500</c:v>
                </c:pt>
                <c:pt idx="1">
                  <c:v>600</c:v>
                </c:pt>
                <c:pt idx="2">
                  <c:v>555</c:v>
                </c:pt>
                <c:pt idx="3">
                  <c:v>650</c:v>
                </c:pt>
                <c:pt idx="4">
                  <c:v>2220</c:v>
                </c:pt>
                <c:pt idx="5">
                  <c:v>55</c:v>
                </c:pt>
                <c:pt idx="6">
                  <c:v>666</c:v>
                </c:pt>
                <c:pt idx="7">
                  <c:v>777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Identifier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Sheet1!$C$2:$C$9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4561744"/>
        <c:axId val="344562528"/>
      </c:barChart>
      <c:catAx>
        <c:axId val="344561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562528"/>
        <c:crosses val="autoZero"/>
        <c:auto val="1"/>
        <c:lblAlgn val="ctr"/>
        <c:lblOffset val="100"/>
        <c:noMultiLvlLbl val="0"/>
      </c:catAx>
      <c:valAx>
        <c:axId val="34456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561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3</xdr:row>
      <xdr:rowOff>182880</xdr:rowOff>
    </xdr:from>
    <xdr:to>
      <xdr:col>15</xdr:col>
      <xdr:colOff>472440</xdr:colOff>
      <xdr:row>18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685800</xdr:colOff>
      <xdr:row>28</xdr:row>
      <xdr:rowOff>167640</xdr:rowOff>
    </xdr:from>
    <xdr:to>
      <xdr:col>8</xdr:col>
      <xdr:colOff>121920</xdr:colOff>
      <xdr:row>43</xdr:row>
      <xdr:rowOff>167640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22860</xdr:rowOff>
    </xdr:from>
    <xdr:to>
      <xdr:col>5</xdr:col>
      <xdr:colOff>556260</xdr:colOff>
      <xdr:row>38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373380</xdr:colOff>
      <xdr:row>3</xdr:row>
      <xdr:rowOff>38100</xdr:rowOff>
    </xdr:from>
    <xdr:to>
      <xdr:col>8</xdr:col>
      <xdr:colOff>106680</xdr:colOff>
      <xdr:row>8</xdr:row>
      <xdr:rowOff>15240</xdr:rowOff>
    </xdr:to>
    <xdr:sp macro="" textlink="">
      <xdr:nvSpPr>
        <xdr:cNvPr id="2" name="Right Arrow 1"/>
        <xdr:cNvSpPr/>
      </xdr:nvSpPr>
      <xdr:spPr>
        <a:xfrm>
          <a:off x="3665220" y="655320"/>
          <a:ext cx="2781300" cy="1005840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2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Find</a:t>
          </a:r>
          <a:r>
            <a:rPr lang="en-US" sz="1200" b="1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Q1,Q3,IQR, LL and UL of the given data set</a:t>
          </a:r>
          <a:endParaRPr lang="en-US" sz="1200" b="1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320040</xdr:colOff>
      <xdr:row>12</xdr:row>
      <xdr:rowOff>129540</xdr:rowOff>
    </xdr:from>
    <xdr:to>
      <xdr:col>13</xdr:col>
      <xdr:colOff>15240</xdr:colOff>
      <xdr:row>27</xdr:row>
      <xdr:rowOff>83820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workbookViewId="0">
      <selection activeCell="G18" sqref="G18"/>
    </sheetView>
  </sheetViews>
  <sheetFormatPr defaultRowHeight="14.4" x14ac:dyDescent="0.3"/>
  <cols>
    <col min="1" max="1" width="10.44140625" bestFit="1" customWidth="1"/>
    <col min="6" max="6" width="11.109375" customWidth="1"/>
  </cols>
  <sheetData>
    <row r="1" spans="1:17" ht="15.6" x14ac:dyDescent="0.3">
      <c r="A1" s="16" t="s">
        <v>24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x14ac:dyDescent="0.3">
      <c r="A3" s="17" t="s">
        <v>25</v>
      </c>
      <c r="B3" s="17"/>
      <c r="C3" s="17"/>
      <c r="D3" s="17"/>
      <c r="E3" s="17"/>
    </row>
    <row r="4" spans="1:17" ht="15" thickBot="1" x14ac:dyDescent="0.35"/>
    <row r="5" spans="1:17" x14ac:dyDescent="0.3">
      <c r="A5" s="9" t="s">
        <v>26</v>
      </c>
      <c r="B5" s="9" t="s">
        <v>0</v>
      </c>
      <c r="C5" s="9" t="s">
        <v>27</v>
      </c>
      <c r="F5" s="10" t="s">
        <v>3</v>
      </c>
      <c r="G5" s="10" t="s">
        <v>5</v>
      </c>
    </row>
    <row r="6" spans="1:17" x14ac:dyDescent="0.3">
      <c r="A6" s="8">
        <v>1</v>
      </c>
      <c r="B6" s="8">
        <v>45</v>
      </c>
      <c r="C6" s="8">
        <v>50</v>
      </c>
      <c r="F6" s="3">
        <v>50</v>
      </c>
      <c r="G6" s="4">
        <v>2</v>
      </c>
    </row>
    <row r="7" spans="1:17" x14ac:dyDescent="0.3">
      <c r="A7" s="8">
        <v>2</v>
      </c>
      <c r="B7" s="8">
        <v>52</v>
      </c>
      <c r="C7" s="8">
        <v>60</v>
      </c>
      <c r="F7" s="3">
        <v>60</v>
      </c>
      <c r="G7" s="4">
        <v>4</v>
      </c>
    </row>
    <row r="8" spans="1:17" x14ac:dyDescent="0.3">
      <c r="A8" s="8">
        <v>3</v>
      </c>
      <c r="B8" s="8">
        <v>68</v>
      </c>
      <c r="C8" s="8">
        <v>70</v>
      </c>
      <c r="F8" s="3">
        <v>70</v>
      </c>
      <c r="G8" s="4">
        <v>4</v>
      </c>
    </row>
    <row r="9" spans="1:17" x14ac:dyDescent="0.3">
      <c r="A9" s="8">
        <v>4</v>
      </c>
      <c r="B9" s="8">
        <v>74</v>
      </c>
      <c r="C9" s="8">
        <v>80</v>
      </c>
      <c r="F9" s="3">
        <v>80</v>
      </c>
      <c r="G9" s="4">
        <v>5</v>
      </c>
    </row>
    <row r="10" spans="1:17" x14ac:dyDescent="0.3">
      <c r="A10" s="8">
        <v>5</v>
      </c>
      <c r="B10" s="8">
        <v>85</v>
      </c>
      <c r="C10" s="8">
        <v>90</v>
      </c>
      <c r="F10" s="3">
        <v>90</v>
      </c>
      <c r="G10" s="4">
        <v>4</v>
      </c>
    </row>
    <row r="11" spans="1:17" x14ac:dyDescent="0.3">
      <c r="A11" s="8">
        <v>6</v>
      </c>
      <c r="B11" s="8">
        <v>63</v>
      </c>
      <c r="C11" s="8">
        <v>100</v>
      </c>
      <c r="F11" s="3">
        <v>100</v>
      </c>
      <c r="G11" s="4">
        <v>1</v>
      </c>
    </row>
    <row r="12" spans="1:17" ht="15" thickBot="1" x14ac:dyDescent="0.35">
      <c r="A12" s="8">
        <v>7</v>
      </c>
      <c r="B12" s="8">
        <v>78</v>
      </c>
      <c r="C12" s="8"/>
      <c r="F12" s="5" t="s">
        <v>4</v>
      </c>
      <c r="G12" s="5">
        <v>0</v>
      </c>
    </row>
    <row r="13" spans="1:17" x14ac:dyDescent="0.3">
      <c r="A13" s="8">
        <v>8</v>
      </c>
      <c r="B13" s="8">
        <v>55</v>
      </c>
      <c r="C13" s="8"/>
    </row>
    <row r="14" spans="1:17" x14ac:dyDescent="0.3">
      <c r="A14" s="8">
        <v>9</v>
      </c>
      <c r="B14" s="8">
        <v>90</v>
      </c>
      <c r="C14" s="8"/>
    </row>
    <row r="15" spans="1:17" x14ac:dyDescent="0.3">
      <c r="A15" s="8">
        <v>10</v>
      </c>
      <c r="B15" s="8">
        <v>82</v>
      </c>
      <c r="C15" s="8"/>
    </row>
    <row r="16" spans="1:17" x14ac:dyDescent="0.3">
      <c r="A16" s="8">
        <v>11</v>
      </c>
      <c r="B16" s="8">
        <v>60</v>
      </c>
      <c r="C16" s="8"/>
    </row>
    <row r="17" spans="1:7" x14ac:dyDescent="0.3">
      <c r="A17" s="8">
        <v>12</v>
      </c>
      <c r="B17" s="8">
        <v>71</v>
      </c>
      <c r="C17" s="8"/>
    </row>
    <row r="18" spans="1:7" x14ac:dyDescent="0.3">
      <c r="A18" s="8">
        <v>13</v>
      </c>
      <c r="B18" s="8">
        <v>66</v>
      </c>
      <c r="C18" s="8"/>
    </row>
    <row r="19" spans="1:7" x14ac:dyDescent="0.3">
      <c r="A19" s="8">
        <v>14</v>
      </c>
      <c r="B19" s="8">
        <v>49</v>
      </c>
      <c r="C19" s="8"/>
    </row>
    <row r="20" spans="1:7" x14ac:dyDescent="0.3">
      <c r="A20" s="8">
        <v>15</v>
      </c>
      <c r="B20" s="8">
        <v>58</v>
      </c>
      <c r="C20" s="8"/>
    </row>
    <row r="21" spans="1:7" ht="15.6" x14ac:dyDescent="0.3">
      <c r="A21" s="8">
        <v>16</v>
      </c>
      <c r="B21" s="8">
        <v>73</v>
      </c>
      <c r="C21" s="8"/>
      <c r="G21" s="6"/>
    </row>
    <row r="22" spans="1:7" x14ac:dyDescent="0.3">
      <c r="A22" s="8">
        <v>17</v>
      </c>
      <c r="B22" s="8">
        <v>88</v>
      </c>
      <c r="C22" s="8"/>
    </row>
    <row r="23" spans="1:7" x14ac:dyDescent="0.3">
      <c r="A23" s="8">
        <v>18</v>
      </c>
      <c r="B23" s="8">
        <v>95</v>
      </c>
      <c r="C23" s="8"/>
    </row>
    <row r="24" spans="1:7" x14ac:dyDescent="0.3">
      <c r="A24" s="8">
        <v>19</v>
      </c>
      <c r="B24" s="8">
        <v>67</v>
      </c>
      <c r="C24" s="8"/>
    </row>
    <row r="25" spans="1:7" x14ac:dyDescent="0.3">
      <c r="A25" s="8">
        <v>20</v>
      </c>
      <c r="B25" s="8">
        <v>80</v>
      </c>
      <c r="C25" s="8"/>
    </row>
    <row r="28" spans="1:7" x14ac:dyDescent="0.3">
      <c r="A28" s="17" t="s">
        <v>28</v>
      </c>
      <c r="B28" s="17"/>
      <c r="C28" s="17"/>
      <c r="D28" s="17"/>
      <c r="E28" s="17"/>
    </row>
  </sheetData>
  <sortState ref="F6:F11">
    <sortCondition ref="F6"/>
  </sortState>
  <mergeCells count="3">
    <mergeCell ref="A1:Q1"/>
    <mergeCell ref="A3:E3"/>
    <mergeCell ref="A28:E28"/>
  </mergeCells>
  <conditionalFormatting sqref="F6:G1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0"/>
  <sheetViews>
    <sheetView workbookViewId="0">
      <selection activeCell="B5" sqref="B5:C13"/>
    </sheetView>
  </sheetViews>
  <sheetFormatPr defaultRowHeight="14.4" x14ac:dyDescent="0.3"/>
  <cols>
    <col min="2" max="2" width="13.44140625" customWidth="1"/>
    <col min="3" max="3" width="21.6640625" customWidth="1"/>
    <col min="4" max="4" width="14.5546875" customWidth="1"/>
    <col min="7" max="7" width="12.6640625" bestFit="1" customWidth="1"/>
    <col min="8" max="8" width="15.109375" bestFit="1" customWidth="1"/>
  </cols>
  <sheetData>
    <row r="1" spans="2:8" x14ac:dyDescent="0.3">
      <c r="B1" s="18" t="s">
        <v>34</v>
      </c>
      <c r="C1" s="18"/>
      <c r="D1" s="18"/>
      <c r="E1" s="18"/>
      <c r="F1" s="18"/>
      <c r="G1" s="18"/>
      <c r="H1" s="18"/>
    </row>
    <row r="2" spans="2:8" x14ac:dyDescent="0.3">
      <c r="B2" s="18"/>
      <c r="C2" s="18"/>
      <c r="D2" s="18"/>
      <c r="E2" s="18"/>
      <c r="F2" s="18"/>
      <c r="G2" s="18"/>
      <c r="H2" s="18"/>
    </row>
    <row r="4" spans="2:8" ht="15" thickBot="1" x14ac:dyDescent="0.35"/>
    <row r="5" spans="2:8" ht="16.2" thickBot="1" x14ac:dyDescent="0.35">
      <c r="B5" s="1" t="s">
        <v>6</v>
      </c>
      <c r="C5" s="13" t="s">
        <v>7</v>
      </c>
      <c r="D5" s="14" t="s">
        <v>29</v>
      </c>
      <c r="G5" s="11" t="s">
        <v>30</v>
      </c>
      <c r="H5" s="11" t="s">
        <v>31</v>
      </c>
    </row>
    <row r="6" spans="2:8" ht="16.2" thickBot="1" x14ac:dyDescent="0.35">
      <c r="B6" s="2" t="s">
        <v>8</v>
      </c>
      <c r="C6" s="15">
        <v>520</v>
      </c>
      <c r="D6" s="8" t="str">
        <f>IF(OR(C6&lt;H$9,C6&gt;H$10),"OUTLIER","NORMAL")</f>
        <v>NORMAL</v>
      </c>
      <c r="G6" s="12" t="s">
        <v>1</v>
      </c>
      <c r="H6" s="7">
        <f>_xlfn.QUARTILE.INC(C6:C20,1)</f>
        <v>660</v>
      </c>
    </row>
    <row r="7" spans="2:8" ht="16.2" thickBot="1" x14ac:dyDescent="0.35">
      <c r="B7" s="2" t="s">
        <v>9</v>
      </c>
      <c r="C7" s="15">
        <v>610</v>
      </c>
      <c r="D7" s="8" t="str">
        <f t="shared" ref="D7:D20" si="0">IF(OR(C7&lt;H$9,C7&gt;H$10),"OUTLIER","NORMAL")</f>
        <v>NORMAL</v>
      </c>
      <c r="G7" s="12" t="s">
        <v>2</v>
      </c>
      <c r="H7" s="7">
        <f>_xlfn.QUARTILE.INC(C6:C20,3)</f>
        <v>880</v>
      </c>
    </row>
    <row r="8" spans="2:8" ht="16.2" thickBot="1" x14ac:dyDescent="0.35">
      <c r="B8" s="2" t="s">
        <v>10</v>
      </c>
      <c r="C8" s="15">
        <v>580</v>
      </c>
      <c r="D8" s="8" t="str">
        <f t="shared" si="0"/>
        <v>NORMAL</v>
      </c>
      <c r="G8" s="12" t="s">
        <v>23</v>
      </c>
      <c r="H8" s="7">
        <f>H7-H6</f>
        <v>220</v>
      </c>
    </row>
    <row r="9" spans="2:8" ht="16.2" thickBot="1" x14ac:dyDescent="0.35">
      <c r="B9" s="2" t="s">
        <v>11</v>
      </c>
      <c r="C9" s="15">
        <v>640</v>
      </c>
      <c r="D9" s="8" t="str">
        <f t="shared" si="0"/>
        <v>NORMAL</v>
      </c>
      <c r="G9" s="12" t="s">
        <v>32</v>
      </c>
      <c r="H9" s="7">
        <f>H6-(1.5*H8)</f>
        <v>330</v>
      </c>
    </row>
    <row r="10" spans="2:8" ht="16.2" thickBot="1" x14ac:dyDescent="0.35">
      <c r="B10" s="2" t="s">
        <v>12</v>
      </c>
      <c r="C10" s="15">
        <v>720</v>
      </c>
      <c r="D10" s="8" t="str">
        <f t="shared" si="0"/>
        <v>NORMAL</v>
      </c>
      <c r="G10" s="12" t="s">
        <v>33</v>
      </c>
      <c r="H10" s="7">
        <f>H7+(1.5*H8)</f>
        <v>1210</v>
      </c>
    </row>
    <row r="11" spans="2:8" ht="16.2" thickBot="1" x14ac:dyDescent="0.35">
      <c r="B11" s="2" t="s">
        <v>13</v>
      </c>
      <c r="C11" s="15">
        <v>680</v>
      </c>
      <c r="D11" s="8" t="str">
        <f t="shared" si="0"/>
        <v>NORMAL</v>
      </c>
    </row>
    <row r="12" spans="2:8" ht="16.2" thickBot="1" x14ac:dyDescent="0.35">
      <c r="B12" s="2" t="s">
        <v>14</v>
      </c>
      <c r="C12" s="15">
        <v>700</v>
      </c>
      <c r="D12" s="8" t="str">
        <f t="shared" si="0"/>
        <v>NORMAL</v>
      </c>
    </row>
    <row r="13" spans="2:8" ht="16.2" thickBot="1" x14ac:dyDescent="0.35">
      <c r="B13" s="2" t="s">
        <v>15</v>
      </c>
      <c r="C13" s="15">
        <v>750</v>
      </c>
      <c r="D13" s="8" t="str">
        <f t="shared" si="0"/>
        <v>NORMAL</v>
      </c>
    </row>
    <row r="14" spans="2:8" ht="16.2" thickBot="1" x14ac:dyDescent="0.35">
      <c r="B14" s="2" t="s">
        <v>16</v>
      </c>
      <c r="C14" s="15">
        <v>810</v>
      </c>
      <c r="D14" s="8" t="str">
        <f t="shared" si="0"/>
        <v>NORMAL</v>
      </c>
    </row>
    <row r="15" spans="2:8" ht="16.2" thickBot="1" x14ac:dyDescent="0.35">
      <c r="B15" s="2" t="s">
        <v>17</v>
      </c>
      <c r="C15" s="15">
        <v>830</v>
      </c>
      <c r="D15" s="8" t="str">
        <f t="shared" si="0"/>
        <v>NORMAL</v>
      </c>
    </row>
    <row r="16" spans="2:8" ht="16.2" thickBot="1" x14ac:dyDescent="0.35">
      <c r="B16" s="2" t="s">
        <v>18</v>
      </c>
      <c r="C16" s="15">
        <v>860</v>
      </c>
      <c r="D16" s="8" t="str">
        <f>IF(OR(C16&lt;H$9,C16&gt;H$10),"OUTLIER","NORMAL")</f>
        <v>NORMAL</v>
      </c>
    </row>
    <row r="17" spans="2:4" ht="16.2" thickBot="1" x14ac:dyDescent="0.35">
      <c r="B17" s="2" t="s">
        <v>19</v>
      </c>
      <c r="C17" s="15">
        <v>900</v>
      </c>
      <c r="D17" s="8" t="str">
        <f t="shared" si="0"/>
        <v>NORMAL</v>
      </c>
    </row>
    <row r="18" spans="2:4" ht="16.2" thickBot="1" x14ac:dyDescent="0.35">
      <c r="B18" s="2" t="s">
        <v>20</v>
      </c>
      <c r="C18" s="15">
        <v>940</v>
      </c>
      <c r="D18" s="8" t="str">
        <f t="shared" si="0"/>
        <v>NORMAL</v>
      </c>
    </row>
    <row r="19" spans="2:4" ht="16.2" thickBot="1" x14ac:dyDescent="0.35">
      <c r="B19" s="2" t="s">
        <v>21</v>
      </c>
      <c r="C19" s="15">
        <v>980</v>
      </c>
      <c r="D19" s="8" t="str">
        <f t="shared" si="0"/>
        <v>NORMAL</v>
      </c>
    </row>
    <row r="20" spans="2:4" ht="16.2" thickBot="1" x14ac:dyDescent="0.35">
      <c r="B20" s="2" t="s">
        <v>22</v>
      </c>
      <c r="C20" s="15">
        <v>2500</v>
      </c>
      <c r="D20" s="8" t="str">
        <f t="shared" si="0"/>
        <v>OUTLIER</v>
      </c>
    </row>
  </sheetData>
  <mergeCells count="1">
    <mergeCell ref="B1:H2"/>
  </mergeCells>
  <conditionalFormatting sqref="C6:C20">
    <cfRule type="expression" dxfId="1" priority="1">
      <formula>OR(C6&lt;$H$9,C6&gt;$H$10)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271" workbookViewId="0">
      <selection activeCell="G37" sqref="G37:L37"/>
    </sheetView>
  </sheetViews>
  <sheetFormatPr defaultRowHeight="14.4" x14ac:dyDescent="0.3"/>
  <cols>
    <col min="1" max="1" width="23.77734375" bestFit="1" customWidth="1"/>
    <col min="2" max="2" width="15.44140625" customWidth="1"/>
    <col min="3" max="3" width="10.77734375" customWidth="1"/>
  </cols>
  <sheetData>
    <row r="1" spans="1:13" ht="16.2" thickBot="1" x14ac:dyDescent="0.35">
      <c r="A1" s="21" t="s">
        <v>6</v>
      </c>
      <c r="B1" s="22" t="s">
        <v>39</v>
      </c>
      <c r="C1" s="22" t="s">
        <v>35</v>
      </c>
      <c r="J1" s="19" t="s">
        <v>36</v>
      </c>
      <c r="K1" s="20"/>
      <c r="L1" s="20"/>
      <c r="M1" s="20"/>
    </row>
    <row r="2" spans="1:13" ht="16.2" thickBot="1" x14ac:dyDescent="0.35">
      <c r="A2" s="23" t="s">
        <v>8</v>
      </c>
      <c r="B2" s="25">
        <v>500</v>
      </c>
      <c r="C2" s="24" t="str">
        <f>IF(OR(B2&lt;$M$8,B2&gt;$M$10),"OUTLIER","NORMAL")</f>
        <v>NORMAL</v>
      </c>
      <c r="J2" s="27" t="s">
        <v>1</v>
      </c>
      <c r="K2" s="28"/>
      <c r="L2" s="28"/>
      <c r="M2" s="29">
        <f>_xlfn.QUARTILE.INC(B2:B9,1)</f>
        <v>541.25</v>
      </c>
    </row>
    <row r="3" spans="1:13" ht="16.2" thickBot="1" x14ac:dyDescent="0.35">
      <c r="A3" s="23" t="s">
        <v>9</v>
      </c>
      <c r="B3" s="25">
        <v>600</v>
      </c>
      <c r="C3" s="24" t="str">
        <f t="shared" ref="C3:C9" si="0">IF(OR(B3&lt;$M$8,B3&gt;$M$10),"OUTLIER","NORMAL")</f>
        <v>NORMAL</v>
      </c>
      <c r="J3" s="27"/>
      <c r="K3" s="28"/>
      <c r="L3" s="28"/>
      <c r="M3" s="30"/>
    </row>
    <row r="4" spans="1:13" ht="16.2" thickBot="1" x14ac:dyDescent="0.35">
      <c r="A4" s="23" t="s">
        <v>10</v>
      </c>
      <c r="B4" s="25">
        <v>555</v>
      </c>
      <c r="C4" s="24" t="str">
        <f t="shared" si="0"/>
        <v>NORMAL</v>
      </c>
      <c r="J4" s="27" t="s">
        <v>2</v>
      </c>
      <c r="K4" s="28"/>
      <c r="L4" s="28"/>
      <c r="M4" s="29">
        <f>_xlfn.QUARTILE.INC(B2:B9,3)</f>
        <v>693.75</v>
      </c>
    </row>
    <row r="5" spans="1:13" ht="16.2" thickBot="1" x14ac:dyDescent="0.35">
      <c r="A5" s="23" t="s">
        <v>11</v>
      </c>
      <c r="B5" s="25">
        <v>650</v>
      </c>
      <c r="C5" s="24" t="str">
        <f t="shared" si="0"/>
        <v>NORMAL</v>
      </c>
      <c r="J5" s="27"/>
      <c r="K5" s="28"/>
      <c r="L5" s="28"/>
      <c r="M5" s="30"/>
    </row>
    <row r="6" spans="1:13" ht="16.2" thickBot="1" x14ac:dyDescent="0.35">
      <c r="A6" s="23" t="s">
        <v>12</v>
      </c>
      <c r="B6" s="25">
        <v>2220</v>
      </c>
      <c r="C6" s="24" t="str">
        <f t="shared" si="0"/>
        <v>OUTLIER</v>
      </c>
      <c r="J6" s="27" t="s">
        <v>23</v>
      </c>
      <c r="K6" s="28"/>
      <c r="L6" s="28"/>
      <c r="M6" s="29">
        <f>M4-M2</f>
        <v>152.5</v>
      </c>
    </row>
    <row r="7" spans="1:13" ht="16.2" thickBot="1" x14ac:dyDescent="0.35">
      <c r="A7" s="23" t="s">
        <v>13</v>
      </c>
      <c r="B7" s="25">
        <v>55</v>
      </c>
      <c r="C7" s="24" t="str">
        <f t="shared" si="0"/>
        <v>OUTLIER</v>
      </c>
      <c r="J7" s="27"/>
      <c r="K7" s="28"/>
      <c r="L7" s="28"/>
      <c r="M7" s="30"/>
    </row>
    <row r="8" spans="1:13" ht="16.2" thickBot="1" x14ac:dyDescent="0.35">
      <c r="A8" s="23" t="s">
        <v>14</v>
      </c>
      <c r="B8" s="25">
        <v>666</v>
      </c>
      <c r="C8" s="24" t="str">
        <f t="shared" si="0"/>
        <v>NORMAL</v>
      </c>
      <c r="J8" s="27" t="s">
        <v>37</v>
      </c>
      <c r="K8" s="28"/>
      <c r="L8" s="28"/>
      <c r="M8" s="29">
        <f>M2-(1.5*M6)</f>
        <v>312.5</v>
      </c>
    </row>
    <row r="9" spans="1:13" ht="16.2" thickBot="1" x14ac:dyDescent="0.35">
      <c r="A9" s="23" t="s">
        <v>15</v>
      </c>
      <c r="B9" s="25">
        <v>777</v>
      </c>
      <c r="C9" s="24" t="str">
        <f t="shared" si="0"/>
        <v>NORMAL</v>
      </c>
      <c r="J9" s="27"/>
      <c r="K9" s="28"/>
      <c r="L9" s="28"/>
      <c r="M9" s="30"/>
    </row>
    <row r="10" spans="1:13" ht="15.6" x14ac:dyDescent="0.3">
      <c r="J10" s="27" t="s">
        <v>38</v>
      </c>
      <c r="K10" s="28"/>
      <c r="L10" s="28"/>
      <c r="M10" s="29">
        <f>M4+(1.5*M6)</f>
        <v>922.5</v>
      </c>
    </row>
    <row r="11" spans="1:13" ht="15.6" x14ac:dyDescent="0.3">
      <c r="J11" s="27"/>
      <c r="K11" s="28"/>
      <c r="L11" s="28"/>
      <c r="M11" s="30"/>
    </row>
    <row r="16" spans="1:13" ht="18" x14ac:dyDescent="0.35">
      <c r="A16" s="31" t="s">
        <v>40</v>
      </c>
      <c r="B16" s="31"/>
      <c r="C16" s="31"/>
      <c r="D16" s="31"/>
      <c r="E16" s="31"/>
    </row>
    <row r="36" spans="2:12" ht="15.6" x14ac:dyDescent="0.3">
      <c r="B36" s="35" t="s">
        <v>41</v>
      </c>
      <c r="C36" s="35"/>
      <c r="D36" s="35"/>
      <c r="E36" s="35"/>
      <c r="F36" s="35"/>
      <c r="G36" s="35" t="s">
        <v>42</v>
      </c>
      <c r="H36" s="35"/>
      <c r="I36" s="35"/>
      <c r="J36" s="35"/>
      <c r="K36" s="35"/>
      <c r="L36" s="35"/>
    </row>
    <row r="37" spans="2:12" ht="36" customHeight="1" x14ac:dyDescent="0.3">
      <c r="B37" s="36" t="s">
        <v>43</v>
      </c>
      <c r="C37" s="36"/>
      <c r="D37" s="36"/>
      <c r="E37" s="36"/>
      <c r="F37" s="36"/>
      <c r="G37" s="32"/>
      <c r="H37" s="33"/>
      <c r="I37" s="33"/>
      <c r="J37" s="33"/>
      <c r="K37" s="33"/>
      <c r="L37" s="34"/>
    </row>
    <row r="38" spans="2:12" ht="33" customHeight="1" x14ac:dyDescent="0.3">
      <c r="B38" s="26"/>
      <c r="C38" s="26"/>
      <c r="D38" s="26"/>
      <c r="E38" s="26"/>
      <c r="F38" s="26"/>
      <c r="G38" s="32"/>
      <c r="H38" s="33"/>
      <c r="I38" s="33"/>
      <c r="J38" s="33"/>
      <c r="K38" s="33"/>
      <c r="L38" s="34"/>
    </row>
    <row r="39" spans="2:12" ht="28.8" customHeight="1" x14ac:dyDescent="0.3">
      <c r="B39" s="26"/>
      <c r="C39" s="26"/>
      <c r="D39" s="26"/>
      <c r="E39" s="26"/>
      <c r="F39" s="26"/>
      <c r="G39" s="32"/>
      <c r="H39" s="33"/>
      <c r="I39" s="33"/>
      <c r="J39" s="33"/>
      <c r="K39" s="33"/>
      <c r="L39" s="34"/>
    </row>
    <row r="40" spans="2:12" ht="30" customHeight="1" x14ac:dyDescent="0.3">
      <c r="B40" s="26"/>
      <c r="C40" s="26"/>
      <c r="D40" s="26"/>
      <c r="E40" s="26"/>
      <c r="F40" s="26"/>
      <c r="G40" s="32"/>
      <c r="H40" s="33"/>
      <c r="I40" s="33"/>
      <c r="J40" s="33"/>
      <c r="K40" s="33"/>
      <c r="L40" s="34"/>
    </row>
    <row r="41" spans="2:12" ht="28.8" customHeight="1" x14ac:dyDescent="0.3">
      <c r="B41" s="26"/>
      <c r="C41" s="26"/>
      <c r="D41" s="26"/>
      <c r="E41" s="26"/>
      <c r="F41" s="26"/>
      <c r="G41" s="32"/>
      <c r="H41" s="33"/>
      <c r="I41" s="33"/>
      <c r="J41" s="33"/>
      <c r="K41" s="33"/>
      <c r="L41" s="34"/>
    </row>
    <row r="42" spans="2:12" ht="28.2" customHeight="1" x14ac:dyDescent="0.3">
      <c r="B42" s="26"/>
      <c r="C42" s="26"/>
      <c r="D42" s="26"/>
      <c r="E42" s="26"/>
      <c r="F42" s="26"/>
      <c r="G42" s="32"/>
      <c r="H42" s="33"/>
      <c r="I42" s="33"/>
      <c r="J42" s="33"/>
      <c r="K42" s="33"/>
      <c r="L42" s="34"/>
    </row>
  </sheetData>
  <mergeCells count="26">
    <mergeCell ref="G37:L37"/>
    <mergeCell ref="G38:L38"/>
    <mergeCell ref="G39:L39"/>
    <mergeCell ref="G40:L40"/>
    <mergeCell ref="G41:L41"/>
    <mergeCell ref="G42:L42"/>
    <mergeCell ref="B38:F38"/>
    <mergeCell ref="B39:F39"/>
    <mergeCell ref="B40:F40"/>
    <mergeCell ref="B41:F41"/>
    <mergeCell ref="B42:F42"/>
    <mergeCell ref="M10:M11"/>
    <mergeCell ref="A16:E16"/>
    <mergeCell ref="B36:F36"/>
    <mergeCell ref="G36:L36"/>
    <mergeCell ref="B37:F37"/>
    <mergeCell ref="J1:M1"/>
    <mergeCell ref="J2:J3"/>
    <mergeCell ref="J4:J5"/>
    <mergeCell ref="J6:J7"/>
    <mergeCell ref="J8:J9"/>
    <mergeCell ref="J10:J11"/>
    <mergeCell ref="M2:M3"/>
    <mergeCell ref="M4:M5"/>
    <mergeCell ref="M6:M7"/>
    <mergeCell ref="M8:M9"/>
  </mergeCells>
  <conditionalFormatting sqref="B2:B9">
    <cfRule type="expression" dxfId="0" priority="1">
      <formula>OR(B2&lt;$M$8,B2&gt;$M$10)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Lab_2</vt:lpstr>
      <vt:lpstr>Lab_3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2026-07-31T09:52:31Z</dcterms:modified>
</cp:coreProperties>
</file>